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IO_EXCEL_COM_IA\"/>
    </mc:Choice>
  </mc:AlternateContent>
  <xr:revisionPtr revIDLastSave="0" documentId="13_ncr:1_{F3C0C445-D4C7-4160-B28D-53DF29BC2BBD}" xr6:coauthVersionLast="47" xr6:coauthVersionMax="47" xr10:uidLastSave="{00000000-0000-0000-0000-000000000000}"/>
  <bookViews>
    <workbookView xWindow="11520" yWindow="0" windowWidth="11520" windowHeight="12360" tabRatio="71" xr2:uid="{1E9EB2EA-4B51-45B9-A4A5-2E51A22EF7B9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periodo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5" i="1"/>
  <c r="C36" i="1"/>
  <c r="C37" i="1"/>
  <c r="D37" i="1" s="1"/>
  <c r="C38" i="1"/>
  <c r="C39" i="1"/>
  <c r="C34" i="1"/>
  <c r="H5" i="2"/>
  <c r="A16" i="2"/>
  <c r="A17" i="2"/>
  <c r="A18" i="2"/>
  <c r="A19" i="2"/>
  <c r="A20" i="2"/>
  <c r="A21" i="2"/>
  <c r="A11" i="2"/>
  <c r="A12" i="2"/>
  <c r="A13" i="2"/>
  <c r="A14" i="2"/>
  <c r="A15" i="2"/>
  <c r="A10" i="2"/>
  <c r="A5" i="2"/>
  <c r="A6" i="2"/>
  <c r="A7" i="2"/>
  <c r="A8" i="2"/>
  <c r="A9" i="2"/>
  <c r="A4" i="2"/>
  <c r="C31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9" i="1" l="1"/>
  <c r="D36" i="1"/>
  <c r="D34" i="1"/>
  <c r="D35" i="1"/>
  <c r="D38" i="1"/>
  <c r="D40" i="1" l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<sst xmlns="http://schemas.openxmlformats.org/spreadsheetml/2006/main" count="70" uniqueCount="35">
  <si>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</si>
  <si>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</si>
  <si>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</si>
  <si>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</si>
  <si>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</si>
  <si>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</si>
  <si>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</si>
  <si>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</si>
  <si>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</si>
  <si>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</si>
  <si>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</si>
  <si>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</si>
  <si>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</si>
  <si>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</si>
  <si>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</si>
  <si>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</si>
  <si>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</si>
  <si>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</si>
  <si>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</si>
  <si>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</si>
  <si>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</si>
  <si>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</si>
  <si>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</si>
  <si>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</si>
  <si>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</si>
  <si>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</si>
  <si>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</si>
  <si>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</si>
  <si>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</si>
  <si>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Moderado</t>
  </si>
  <si>
    <t>PERFIL</t>
  </si>
  <si>
    <t>%</t>
  </si>
  <si>
    <t>CHAVE</t>
  </si>
  <si>
    <t>Agressivo</t>
  </si>
  <si>
    <t>Conservador-DESENVOLVIMENTO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</si>
</sst>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8" fontId="3" fillId="4" borderId="4" xfId="0" applyNumberFormat="1" applyFont="1" applyFill="1" applyBorder="1" applyAlignment="1">
      <alignment horizontal="center" vertical="center"/>
    </xf>
    <xf numFmtId="8" fontId="3" fillId="4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8" fontId="0" fillId="4" borderId="8" xfId="0" applyNumberFormat="1" applyFill="1" applyBorder="1" applyAlignment="1">
      <alignment horizontal="center"/>
    </xf>
    <xf numFmtId="8" fontId="0" fillId="4" borderId="12" xfId="0" applyNumberFormat="1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8" fontId="0" fillId="4" borderId="4" xfId="0" applyNumberFormat="1" applyFill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0" fontId="5" fillId="5" borderId="2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5" fillId="5" borderId="7" xfId="0" applyFont="1" applyFill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6" fillId="6" borderId="11" xfId="0" applyFont="1" applyFill="1" applyBorder="1" applyAlignment="1">
      <alignment horizontal="left" indent="4"/>
    </xf>
    <xf numFmtId="0" fontId="6" fillId="6" borderId="8" xfId="0" applyFont="1" applyFill="1" applyBorder="1" applyAlignment="1">
      <alignment horizontal="left" indent="4"/>
    </xf>
    <xf numFmtId="0" fontId="6" fillId="6" borderId="3" xfId="0" applyFont="1" applyFill="1" applyBorder="1" applyAlignment="1">
      <alignment horizontal="left" indent="4"/>
    </xf>
    <xf numFmtId="0" fontId="6" fillId="6" borderId="9" xfId="0" applyFont="1" applyFill="1" applyBorder="1" applyAlignment="1">
      <alignment horizontal="left" indent="4"/>
    </xf>
    <xf numFmtId="0" fontId="6" fillId="6" borderId="5" xfId="0" applyFont="1" applyFill="1" applyBorder="1" applyAlignment="1">
      <alignment horizontal="left" indent="4"/>
    </xf>
    <xf numFmtId="0" fontId="6" fillId="6" borderId="10" xfId="0" applyFont="1" applyFill="1" applyBorder="1" applyAlignment="1">
      <alignment horizontal="left" indent="4"/>
    </xf>
    <xf numFmtId="0" fontId="8" fillId="4" borderId="3" xfId="0" applyFont="1" applyFill="1" applyBorder="1" applyAlignment="1">
      <alignment horizontal="left" indent="4"/>
    </xf>
    <xf numFmtId="0" fontId="8" fillId="4" borderId="9" xfId="0" applyFont="1" applyFill="1" applyBorder="1" applyAlignment="1">
      <alignment horizontal="left" indent="4"/>
    </xf>
    <xf numFmtId="0" fontId="8" fillId="4" borderId="5" xfId="0" applyFont="1" applyFill="1" applyBorder="1" applyAlignment="1">
      <alignment horizontal="left" indent="4"/>
    </xf>
    <xf numFmtId="0" fontId="8" fillId="4" borderId="10" xfId="0" applyFont="1" applyFill="1" applyBorder="1" applyAlignment="1">
      <alignment horizontal="left" indent="4"/>
    </xf>
    <xf numFmtId="0" fontId="6" fillId="4" borderId="11" xfId="0" applyFont="1" applyFill="1" applyBorder="1" applyAlignment="1">
      <alignment horizontal="left" indent="4"/>
    </xf>
    <xf numFmtId="0" fontId="6" fillId="4" borderId="3" xfId="0" applyFont="1" applyFill="1" applyBorder="1" applyAlignment="1">
      <alignment horizontal="left" indent="4"/>
    </xf>
    <xf numFmtId="0" fontId="6" fillId="4" borderId="5" xfId="0" applyFont="1" applyFill="1" applyBorder="1" applyAlignment="1">
      <alignment horizontal="left" indent="4"/>
    </xf>
    <xf numFmtId="166" fontId="0" fillId="4" borderId="6" xfId="0" applyNumberFormat="1" applyFill="1" applyBorder="1" applyAlignment="1">
      <alignment horizontal="center" vertical="center"/>
    </xf>
    <xf numFmtId="0" fontId="2" fillId="2" borderId="0" xfId="3"/>
    <xf numFmtId="0" fontId="3" fillId="6" borderId="0" xfId="0" applyFont="1" applyFill="1"/>
    <xf numFmtId="0" fontId="3" fillId="7" borderId="0" xfId="0" applyFont="1" applyFill="1" applyAlignment="1">
      <alignment horizontal="center"/>
    </xf>
    <xf numFmtId="166" fontId="3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9" fontId="2" fillId="2" borderId="0" xfId="2" applyFont="1" applyFill="1"/>
    <xf numFmtId="0" fontId="2" fillId="2" borderId="0" xfId="3" applyAlignment="1">
      <alignment horizontal="center"/>
    </xf>
    <xf numFmtId="166" fontId="3" fillId="6" borderId="0" xfId="1" applyNumberFormat="1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AE-49FD-98EA-988926918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AE-49FD-98EA-9889269180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DAE-49FD-98EA-9889269180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AE-49FD-98EA-9889269180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DAE-49FD-98EA-9889269180AF}"/>
              </c:ext>
            </c:extLst>
          </c:dPt>
          <c:dLbls>
            <c:dLbl>
              <c:idx val="0"/>
              <c:layout>
                <c:manualLayout>
                  <c:x val="4.4494601348484132E-2"/>
                  <c:y val="8.49336541265675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AE-49FD-98EA-9889269180AF}"/>
                </c:ext>
              </c:extLst>
            </c:dLbl>
            <c:dLbl>
              <c:idx val="1"/>
              <c:layout>
                <c:manualLayout>
                  <c:x val="-8.4701494648498285E-2"/>
                  <c:y val="-6.3155438903470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AE-49FD-98EA-9889269180AF}"/>
                </c:ext>
              </c:extLst>
            </c:dLbl>
            <c:dLbl>
              <c:idx val="2"/>
              <c:layout>
                <c:manualLayout>
                  <c:x val="-3.2745249658163986E-2"/>
                  <c:y val="2.165463692038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AE-49FD-98EA-9889269180AF}"/>
                </c:ext>
              </c:extLst>
            </c:dLbl>
            <c:dLbl>
              <c:idx val="3"/>
              <c:layout>
                <c:manualLayout>
                  <c:x val="-2.9621858644914893E-2"/>
                  <c:y val="2.8700787401574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AE-49FD-98EA-9889269180AF}"/>
                </c:ext>
              </c:extLst>
            </c:dLbl>
            <c:dLbl>
              <c:idx val="5"/>
              <c:layout>
                <c:manualLayout>
                  <c:x val="4.897458626054977E-2"/>
                  <c:y val="-1.7690288713910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AE-49FD-98EA-9889269180A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E-49FD-98EA-988926918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156633</xdr:colOff>
      <xdr:row>0</xdr:row>
      <xdr:rowOff>87630</xdr:rowOff>
    </xdr:from>
    <xdr:to>
      <xdr:col>4</xdr:col>
      <xdr:colOff>0</xdr:colOff>
      <xdr:row>9</xdr:row>
      <xdr:rowOff>57149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10F278-7910-714B-864B-EFDAF70F4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67"/>
        <a:stretch/>
      </xdr:blipFill>
      <xdr:spPr>
        <a:xfrm>
          <a:off x="156633" y="87630"/>
          <a:ext cx="5361517" cy="1626869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40</xdr:row>
      <xdr:rowOff>171450</xdr:rowOff>
    </xdr:from>
    <xdr:to>
      <xdr:col>4</xdr:col>
      <xdr:colOff>12700</xdr:colOff>
      <xdr:row>55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243013-6DCA-B849-84BA-FAAE9B265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C693-4FC9-4C2E-8265-E480CDE87E4C}">
  <dimension ref="A10:F40"/>
  <sheetViews>
    <sheetView showGridLines="0" tabSelected="1" zoomScale="120" zoomScaleNormal="120" workbookViewId="0">
      <selection activeCell="A42" sqref="A42"/>
    </sheetView>
  </sheetViews>
  <sheetFormatPr defaultColWidth="0" defaultRowHeight="14.4" x14ac:dyDescent="0.3"/>
  <cols>
    <col min="1" max="1" width="3" bestFit="1" customWidth="1"/>
    <col min="2" max="2" width="47.33203125" customWidth="1"/>
    <col min="3" max="3" width="17.5546875" bestFit="1" customWidth="1"/>
    <col min="4" max="4" width="12.5546875" customWidth="1"/>
    <col min="5" max="5" width="21.5546875" bestFit="1" customWidth="1"/>
    <col min="6" max="6" width="10.5546875" hidden="1"/>
    <col min="7" max="16384" width="9.33203125" hidden="1"/>
  </cols>
  <sheetData>
    <row r="10" spans="2:4" ht="15" thickBot="1" x14ac:dyDescent="0.35"/>
    <row r="11" spans="2:4" ht="23.4" x14ac:dyDescent="0.3">
      <c r="B11" s="12" t="s">
        <v>13</v>
      </c>
      <c r="C11" s="24"/>
      <c r="D11" s="22"/>
    </row>
    <row r="12" spans="2:4" ht="15.6" x14ac:dyDescent="0.3">
      <c r="B12" s="26" t="s">
        <v>14</v>
      </c>
      <c r="C12" s="27"/>
      <c r="D12" s="13">
        <v>1896</v>
      </c>
    </row>
    <row r="13" spans="2:4" ht="15.6" x14ac:dyDescent="0.3">
      <c r="B13" s="28" t="s">
        <v>15</v>
      </c>
      <c r="C13" s="29"/>
      <c r="D13" s="14">
        <v>6.0000000000000001E-3</v>
      </c>
    </row>
    <row r="14" spans="2:4" ht="16.2" thickBot="1" x14ac:dyDescent="0.35">
      <c r="B14" s="30" t="s">
        <v>16</v>
      </c>
      <c r="C14" s="31"/>
      <c r="D14" s="39">
        <f>salario*20%</f>
        <v>379.20000000000005</v>
      </c>
    </row>
    <row r="15" spans="2:4" ht="15" thickBot="1" x14ac:dyDescent="0.35"/>
    <row r="16" spans="2:4" ht="30.6" customHeight="1" x14ac:dyDescent="0.3">
      <c r="B16" s="9" t="s">
        <v>5</v>
      </c>
      <c r="C16" s="11"/>
      <c r="D16" s="7"/>
    </row>
    <row r="17" spans="1:4" ht="15.6" x14ac:dyDescent="0.3">
      <c r="B17" s="26" t="s">
        <v>0</v>
      </c>
      <c r="C17" s="27"/>
      <c r="D17" s="25">
        <v>600</v>
      </c>
    </row>
    <row r="18" spans="1:4" ht="15.6" x14ac:dyDescent="0.3">
      <c r="B18" s="28" t="s">
        <v>1</v>
      </c>
      <c r="C18" s="29"/>
      <c r="D18" s="2">
        <v>5</v>
      </c>
    </row>
    <row r="19" spans="1:4" ht="15.6" x14ac:dyDescent="0.3">
      <c r="B19" s="28" t="s">
        <v>2</v>
      </c>
      <c r="C19" s="29"/>
      <c r="D19" s="3">
        <v>1.0789999999999999E-2</v>
      </c>
    </row>
    <row r="20" spans="1:4" ht="15.6" x14ac:dyDescent="0.3">
      <c r="B20" s="32" t="s">
        <v>3</v>
      </c>
      <c r="C20" s="33"/>
      <c r="D20" s="4">
        <f>ABS(FV(taxa_mensal,periodo_anos*12,aporte))</f>
        <v>50266.148399092584</v>
      </c>
    </row>
    <row r="21" spans="1:4" ht="16.2" thickBot="1" x14ac:dyDescent="0.35">
      <c r="B21" s="34" t="s">
        <v>4</v>
      </c>
      <c r="C21" s="35"/>
      <c r="D21" s="5">
        <f>patrimonio*rendimento_carteira</f>
        <v>301.59689039455549</v>
      </c>
    </row>
    <row r="22" spans="1:4" ht="15" thickBot="1" x14ac:dyDescent="0.35"/>
    <row r="23" spans="1:4" ht="23.4" x14ac:dyDescent="0.3">
      <c r="B23" s="1" t="s">
        <v>11</v>
      </c>
      <c r="C23" s="15"/>
      <c r="D23" s="10" t="s">
        <v>12</v>
      </c>
    </row>
    <row r="24" spans="1:4" ht="15.6" x14ac:dyDescent="0.3">
      <c r="A24" s="6">
        <v>2</v>
      </c>
      <c r="B24" s="36" t="s">
        <v>6</v>
      </c>
      <c r="C24" s="16">
        <f>FV(taxa_mensal,$A24*12,aporte*-1)</f>
        <v>16336.57637858713</v>
      </c>
      <c r="D24" s="17">
        <f>C24*rendimento_carteira</f>
        <v>98.01945827152278</v>
      </c>
    </row>
    <row r="25" spans="1:4" ht="15.6" x14ac:dyDescent="0.3">
      <c r="A25" s="6">
        <v>5</v>
      </c>
      <c r="B25" s="37" t="s">
        <v>7</v>
      </c>
      <c r="C25" s="18">
        <f>FV(taxa_mensal,$A25*12,aporte*-1)</f>
        <v>50266.148399092584</v>
      </c>
      <c r="D25" s="19">
        <f>C25*rendimento_carteira</f>
        <v>301.59689039455549</v>
      </c>
    </row>
    <row r="26" spans="1:4" ht="15.6" x14ac:dyDescent="0.3">
      <c r="A26" s="6">
        <v>10</v>
      </c>
      <c r="B26" s="37" t="s">
        <v>8</v>
      </c>
      <c r="C26" s="18">
        <f>FV(taxa_mensal,$A26*12,aporte*-1)</f>
        <v>145970.52751810331</v>
      </c>
      <c r="D26" s="19">
        <f>C26*rendimento_carteira</f>
        <v>875.82316510861983</v>
      </c>
    </row>
    <row r="27" spans="1:4" ht="15.6" x14ac:dyDescent="0.3">
      <c r="A27" s="6">
        <v>20</v>
      </c>
      <c r="B27" s="37" t="s">
        <v>9</v>
      </c>
      <c r="C27" s="18">
        <f>FV(taxa_mensal,$A27*12,aporte*-1)</f>
        <v>675119.04005824833</v>
      </c>
      <c r="D27" s="19">
        <f>C27*rendimento_carteira</f>
        <v>4050.71424034949</v>
      </c>
    </row>
    <row r="28" spans="1:4" ht="16.2" thickBot="1" x14ac:dyDescent="0.35">
      <c r="A28" s="6">
        <v>30</v>
      </c>
      <c r="B28" s="38" t="s">
        <v>10</v>
      </c>
      <c r="C28" s="20">
        <f>FV(taxa_mensal,$A28*12,aporte*-1)</f>
        <v>2593301.7930028285</v>
      </c>
      <c r="D28" s="21">
        <f>C28*rendimento_carteira</f>
        <v>15559.810758016971</v>
      </c>
    </row>
    <row r="30" spans="1:4" x14ac:dyDescent="0.3">
      <c r="B30" s="40" t="s">
        <v>17</v>
      </c>
      <c r="C30" s="59" t="s">
        <v>29</v>
      </c>
      <c r="D30" s="40"/>
    </row>
    <row r="31" spans="1:4" x14ac:dyDescent="0.3">
      <c r="B31" s="41" t="s">
        <v>19</v>
      </c>
      <c r="C31" s="60">
        <f>aporte</f>
        <v>600</v>
      </c>
      <c r="D31" s="41"/>
    </row>
    <row r="33" spans="2:4" x14ac:dyDescent="0.3">
      <c r="B33" s="42" t="s">
        <v>20</v>
      </c>
      <c r="C33" s="42" t="s">
        <v>21</v>
      </c>
      <c r="D33" s="42" t="s">
        <v>22</v>
      </c>
    </row>
    <row r="34" spans="2:4" x14ac:dyDescent="0.3">
      <c r="B34" s="8" t="s">
        <v>23</v>
      </c>
      <c r="C34" s="44">
        <f>VLOOKUP($C$30&amp;"-"&amp;B34,Planilha2!$A:$D,4,FALSE)</f>
        <v>0.32</v>
      </c>
      <c r="D34" s="45">
        <f>C34*$C$31</f>
        <v>192</v>
      </c>
    </row>
    <row r="35" spans="2:4" x14ac:dyDescent="0.3">
      <c r="B35" s="8" t="s">
        <v>24</v>
      </c>
      <c r="C35" s="44">
        <f>VLOOKUP($C$30&amp;"-"&amp;B35,Planilha2!$A:$D,4,FALSE)</f>
        <v>0.4</v>
      </c>
      <c r="D35" s="45">
        <f t="shared" ref="D35:D39" si="0">C35*$C$31</f>
        <v>240</v>
      </c>
    </row>
    <row r="36" spans="2:4" x14ac:dyDescent="0.3">
      <c r="B36" s="8" t="s">
        <v>25</v>
      </c>
      <c r="C36" s="44">
        <f>VLOOKUP($C$30&amp;"-"&amp;B36,Planilha2!$A:$D,4,FALSE)</f>
        <v>0.08</v>
      </c>
      <c r="D36" s="45">
        <f t="shared" si="0"/>
        <v>48</v>
      </c>
    </row>
    <row r="37" spans="2:4" x14ac:dyDescent="0.3">
      <c r="B37" s="8" t="s">
        <v>26</v>
      </c>
      <c r="C37" s="44">
        <f>VLOOKUP($C$30&amp;"-"&amp;B37,Planilha2!$A:$D,4,FALSE)</f>
        <v>0.1</v>
      </c>
      <c r="D37" s="45">
        <f t="shared" si="0"/>
        <v>60</v>
      </c>
    </row>
    <row r="38" spans="2:4" x14ac:dyDescent="0.3">
      <c r="B38" s="8" t="s">
        <v>27</v>
      </c>
      <c r="C38" s="44">
        <f>VLOOKUP($C$30&amp;"-"&amp;B38,Planilha2!$A:$D,4,FALSE)</f>
        <v>0.05</v>
      </c>
      <c r="D38" s="45">
        <f t="shared" si="0"/>
        <v>30</v>
      </c>
    </row>
    <row r="39" spans="2:4" x14ac:dyDescent="0.3">
      <c r="B39" s="8" t="s">
        <v>28</v>
      </c>
      <c r="C39" s="44">
        <f>VLOOKUP($C$30&amp;"-"&amp;B39,Planilha2!$A:$D,4,FALSE)</f>
        <v>0.05</v>
      </c>
      <c r="D39" s="45">
        <f t="shared" si="0"/>
        <v>30</v>
      </c>
    </row>
    <row r="40" spans="2:4" x14ac:dyDescent="0.3">
      <c r="B40" s="42"/>
      <c r="C40" s="42"/>
      <c r="D40" s="43">
        <f>SUM(D34:D39)</f>
        <v>600</v>
      </c>
    </row>
  </sheetData>
  <mergeCells count="11">
    <mergeCell ref="B11:C11"/>
    <mergeCell ref="B12:C12"/>
    <mergeCell ref="B13:C13"/>
    <mergeCell ref="B14:C14"/>
    <mergeCell ref="B16:C16"/>
    <mergeCell ref="B20:C20"/>
    <mergeCell ref="B23:C23"/>
    <mergeCell ref="B17:C17"/>
    <mergeCell ref="B18:C18"/>
    <mergeCell ref="B19:C19"/>
    <mergeCell ref="B21:C21"/>
  </mergeCells>
  <dataValidations count="1">
    <dataValidation type="list" allowBlank="1" showInputMessage="1" showErrorMessage="1" sqref="C30" xr:uid="{49DDDF16-2EF1-4D43-8B2F-7151AE38D03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E4F9-27B8-40C6-9C37-A46A1B86CE71}">
  <dimension ref="A3:H21"/>
  <sheetViews>
    <sheetView workbookViewId="0">
      <selection activeCell="H6" sqref="H6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28.77734375" bestFit="1" customWidth="1"/>
  </cols>
  <sheetData>
    <row r="3" spans="1:8" x14ac:dyDescent="0.3">
      <c r="A3" t="s">
        <v>32</v>
      </c>
      <c r="B3" s="8" t="s">
        <v>30</v>
      </c>
      <c r="C3" s="8" t="s">
        <v>20</v>
      </c>
      <c r="D3" s="8" t="s">
        <v>31</v>
      </c>
    </row>
    <row r="4" spans="1:8" x14ac:dyDescent="0.3">
      <c r="A4" s="46" t="str">
        <f>B4&amp;"-"&amp;C4</f>
        <v>Conservador-PAPEL</v>
      </c>
      <c r="B4" s="55" t="s">
        <v>18</v>
      </c>
      <c r="C4" s="47" t="s">
        <v>23</v>
      </c>
      <c r="D4" s="48">
        <v>0.3</v>
      </c>
    </row>
    <row r="5" spans="1:8" x14ac:dyDescent="0.3">
      <c r="A5" s="46" t="str">
        <f t="shared" ref="A5:A21" si="0">B5&amp;"-"&amp;C5</f>
        <v>Conservador-TIJOLO</v>
      </c>
      <c r="B5" s="55" t="s">
        <v>18</v>
      </c>
      <c r="C5" s="47" t="s">
        <v>24</v>
      </c>
      <c r="D5" s="48">
        <v>0.5</v>
      </c>
      <c r="G5" s="40" t="s">
        <v>34</v>
      </c>
      <c r="H5" s="58">
        <f>VLOOKUP(G5,$A:$D,4,FALSE)</f>
        <v>0</v>
      </c>
    </row>
    <row r="6" spans="1:8" x14ac:dyDescent="0.3">
      <c r="A6" s="46" t="str">
        <f t="shared" si="0"/>
        <v>Conservador-HIBRIDOS</v>
      </c>
      <c r="B6" s="55" t="s">
        <v>18</v>
      </c>
      <c r="C6" s="47" t="s">
        <v>25</v>
      </c>
      <c r="D6" s="48">
        <v>0.1</v>
      </c>
    </row>
    <row r="7" spans="1:8" x14ac:dyDescent="0.3">
      <c r="A7" s="46" t="str">
        <f t="shared" si="0"/>
        <v>Conservador-FOFs</v>
      </c>
      <c r="B7" s="55" t="s">
        <v>18</v>
      </c>
      <c r="C7" s="47" t="s">
        <v>26</v>
      </c>
      <c r="D7" s="48">
        <v>0.1</v>
      </c>
    </row>
    <row r="8" spans="1:8" x14ac:dyDescent="0.3">
      <c r="A8" s="46" t="str">
        <f t="shared" si="0"/>
        <v>Conservador-DESENVOLVIMENTO</v>
      </c>
      <c r="B8" s="55" t="s">
        <v>18</v>
      </c>
      <c r="C8" s="47" t="s">
        <v>27</v>
      </c>
      <c r="D8" s="48">
        <v>0</v>
      </c>
    </row>
    <row r="9" spans="1:8" x14ac:dyDescent="0.3">
      <c r="A9" s="49" t="str">
        <f t="shared" si="0"/>
        <v>Conservador-HOTELARIAS</v>
      </c>
      <c r="B9" s="56" t="s">
        <v>18</v>
      </c>
      <c r="C9" s="50" t="s">
        <v>28</v>
      </c>
      <c r="D9" s="51">
        <v>0</v>
      </c>
    </row>
    <row r="10" spans="1:8" x14ac:dyDescent="0.3">
      <c r="A10" s="52" t="str">
        <f t="shared" si="0"/>
        <v>Moderado-PAPEL</v>
      </c>
      <c r="B10" s="57" t="s">
        <v>29</v>
      </c>
      <c r="C10" s="53" t="s">
        <v>23</v>
      </c>
      <c r="D10" s="54">
        <v>0.32</v>
      </c>
    </row>
    <row r="11" spans="1:8" x14ac:dyDescent="0.3">
      <c r="A11" s="46" t="str">
        <f t="shared" si="0"/>
        <v>Moderado-TIJOLO</v>
      </c>
      <c r="B11" s="55" t="s">
        <v>29</v>
      </c>
      <c r="C11" s="47" t="s">
        <v>24</v>
      </c>
      <c r="D11" s="48">
        <v>0.4</v>
      </c>
    </row>
    <row r="12" spans="1:8" x14ac:dyDescent="0.3">
      <c r="A12" s="46" t="str">
        <f t="shared" si="0"/>
        <v>Moderado-HIBRIDOS</v>
      </c>
      <c r="B12" s="55" t="s">
        <v>29</v>
      </c>
      <c r="C12" s="47" t="s">
        <v>25</v>
      </c>
      <c r="D12" s="48">
        <v>0.08</v>
      </c>
    </row>
    <row r="13" spans="1:8" x14ac:dyDescent="0.3">
      <c r="A13" s="46" t="str">
        <f t="shared" si="0"/>
        <v>Moderado-FOFs</v>
      </c>
      <c r="B13" s="55" t="s">
        <v>29</v>
      </c>
      <c r="C13" s="47" t="s">
        <v>26</v>
      </c>
      <c r="D13" s="48">
        <v>0.1</v>
      </c>
    </row>
    <row r="14" spans="1:8" x14ac:dyDescent="0.3">
      <c r="A14" s="46" t="str">
        <f t="shared" si="0"/>
        <v>Moderado-DESENVOLVIMENTO</v>
      </c>
      <c r="B14" s="55" t="s">
        <v>29</v>
      </c>
      <c r="C14" s="47" t="s">
        <v>27</v>
      </c>
      <c r="D14" s="48">
        <v>0.05</v>
      </c>
    </row>
    <row r="15" spans="1:8" x14ac:dyDescent="0.3">
      <c r="A15" s="49" t="str">
        <f t="shared" si="0"/>
        <v>Moderado-HOTELARIAS</v>
      </c>
      <c r="B15" s="56" t="s">
        <v>29</v>
      </c>
      <c r="C15" s="50" t="s">
        <v>28</v>
      </c>
      <c r="D15" s="51">
        <v>0.05</v>
      </c>
    </row>
    <row r="16" spans="1:8" x14ac:dyDescent="0.3">
      <c r="A16" s="23" t="str">
        <f t="shared" si="0"/>
        <v>Agressivo-PAPEL</v>
      </c>
      <c r="B16" s="23" t="s">
        <v>33</v>
      </c>
      <c r="C16" s="8" t="s">
        <v>23</v>
      </c>
      <c r="D16" s="44">
        <v>0.5</v>
      </c>
    </row>
    <row r="17" spans="1:4" x14ac:dyDescent="0.3">
      <c r="A17" s="23" t="str">
        <f t="shared" si="0"/>
        <v>Agressivo-TIJOLO</v>
      </c>
      <c r="B17" s="23" t="s">
        <v>33</v>
      </c>
      <c r="C17" s="8" t="s">
        <v>24</v>
      </c>
      <c r="D17" s="44">
        <v>0.1</v>
      </c>
    </row>
    <row r="18" spans="1:4" x14ac:dyDescent="0.3">
      <c r="A18" s="23" t="str">
        <f t="shared" si="0"/>
        <v>Agressivo-HIBRIDOS</v>
      </c>
      <c r="B18" s="23" t="s">
        <v>33</v>
      </c>
      <c r="C18" s="8" t="s">
        <v>25</v>
      </c>
      <c r="D18" s="44">
        <v>0.05</v>
      </c>
    </row>
    <row r="19" spans="1:4" x14ac:dyDescent="0.3">
      <c r="A19" s="23" t="str">
        <f t="shared" si="0"/>
        <v>Agressivo-FOFs</v>
      </c>
      <c r="B19" s="23" t="s">
        <v>33</v>
      </c>
      <c r="C19" s="8" t="s">
        <v>26</v>
      </c>
      <c r="D19" s="44">
        <v>0.05</v>
      </c>
    </row>
    <row r="20" spans="1:4" x14ac:dyDescent="0.3">
      <c r="A20" s="23" t="str">
        <f t="shared" si="0"/>
        <v>Agressivo-DESENVOLVIMENTO</v>
      </c>
      <c r="B20" s="23" t="s">
        <v>33</v>
      </c>
      <c r="C20" s="8" t="s">
        <v>27</v>
      </c>
      <c r="D20" s="44">
        <v>0.2</v>
      </c>
    </row>
    <row r="21" spans="1:4" x14ac:dyDescent="0.3">
      <c r="A21" s="23" t="str">
        <f t="shared" si="0"/>
        <v>Agressivo-HOTELARIAS</v>
      </c>
      <c r="B21" s="23" t="s">
        <v>33</v>
      </c>
      <c r="C21" s="8" t="s">
        <v>28</v>
      </c>
      <c r="D21" s="44">
        <v>0.1</v>
      </c>
    </row>
  </sheetData>
  <dataValidations count="1">
    <dataValidation type="list" allowBlank="1" showInputMessage="1" showErrorMessage="1" sqref="G5" xr:uid="{BF35A1A3-E534-42A0-AF5A-2D82C8AE3D8A}">
      <formula1>$A$4:$A$21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periodo_anos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DE SOUZA</dc:creator>
  <cp:lastModifiedBy>LUIZ GUILHERME DE SOUZA</cp:lastModifiedBy>
  <dcterms:created xsi:type="dcterms:W3CDTF">2025-12-27T23:54:28Z</dcterms:created>
  <dcterms:modified xsi:type="dcterms:W3CDTF">2025-12-28T02:51:24Z</dcterms:modified>
</cp:coreProperties>
</file>